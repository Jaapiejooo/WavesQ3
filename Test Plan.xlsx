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UD_CEG_Repository\Wave\Q3\Lab\"/>
    </mc:Choice>
  </mc:AlternateContent>
  <xr:revisionPtr revIDLastSave="0" documentId="13_ncr:1_{9760C568-F757-4A66-B22A-0AADAC9FCC5B}" xr6:coauthVersionLast="47" xr6:coauthVersionMax="47" xr10:uidLastSave="{00000000-0000-0000-0000-000000000000}"/>
  <bookViews>
    <workbookView xWindow="-110" yWindow="-110" windowWidth="25820" windowHeight="15500" xr2:uid="{CB86AADB-E2DC-4C33-ACFF-50922A1E6B0A}"/>
  </bookViews>
  <sheets>
    <sheet name="Sheet1" sheetId="1" r:id="rId1"/>
    <sheet name="H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8" i="1" l="1"/>
  <c r="W29" i="1"/>
  <c r="W30" i="1"/>
  <c r="W31" i="1"/>
  <c r="W32" i="1"/>
  <c r="W33" i="1"/>
  <c r="W34" i="1"/>
  <c r="W35" i="1"/>
  <c r="W36" i="1"/>
  <c r="W37" i="1"/>
  <c r="X37" i="1" s="1"/>
  <c r="W27" i="1"/>
  <c r="S36" i="1"/>
  <c r="T36" i="1" s="1"/>
  <c r="T35" i="1"/>
  <c r="S35" i="1"/>
  <c r="S34" i="1"/>
  <c r="T34" i="1" s="1"/>
  <c r="S33" i="1"/>
  <c r="T33" i="1" s="1"/>
  <c r="T32" i="1"/>
  <c r="T31" i="1"/>
  <c r="S30" i="1"/>
  <c r="T30" i="1" s="1"/>
  <c r="S29" i="1"/>
  <c r="T29" i="1" s="1"/>
  <c r="T28" i="1"/>
  <c r="T27" i="1"/>
  <c r="C38" i="1"/>
  <c r="E41" i="1"/>
  <c r="K28" i="1"/>
  <c r="K29" i="1"/>
  <c r="K30" i="1"/>
  <c r="K31" i="1"/>
  <c r="K32" i="1"/>
  <c r="K33" i="1"/>
  <c r="K34" i="1"/>
  <c r="K35" i="1"/>
  <c r="K27" i="1"/>
  <c r="J28" i="1"/>
  <c r="J29" i="1"/>
  <c r="J30" i="1"/>
  <c r="J31" i="1"/>
  <c r="J32" i="1"/>
  <c r="J33" i="1"/>
  <c r="J34" i="1"/>
  <c r="J35" i="1"/>
  <c r="J27" i="1"/>
  <c r="E7" i="1"/>
  <c r="F7" i="1"/>
  <c r="G7" i="1"/>
  <c r="H7" i="1"/>
  <c r="I7" i="1"/>
  <c r="J7" i="1"/>
  <c r="K7" i="1"/>
  <c r="L7" i="1"/>
  <c r="D7" i="1"/>
  <c r="E6" i="1"/>
  <c r="F6" i="1"/>
  <c r="G6" i="1"/>
  <c r="H6" i="1"/>
  <c r="I6" i="1"/>
  <c r="J6" i="1"/>
  <c r="K6" i="1"/>
  <c r="L6" i="1"/>
  <c r="D6" i="1"/>
</calcChain>
</file>

<file path=xl/sharedStrings.xml><?xml version="1.0" encoding="utf-8"?>
<sst xmlns="http://schemas.openxmlformats.org/spreadsheetml/2006/main" count="69" uniqueCount="38">
  <si>
    <t>H</t>
  </si>
  <si>
    <t>T</t>
  </si>
  <si>
    <t>gamma</t>
  </si>
  <si>
    <t>swell</t>
  </si>
  <si>
    <t>wind</t>
  </si>
  <si>
    <t>Limit</t>
  </si>
  <si>
    <t>Hs</t>
  </si>
  <si>
    <t>Tp</t>
  </si>
  <si>
    <t>L</t>
  </si>
  <si>
    <t>(s)</t>
  </si>
  <si>
    <t>(m)</t>
  </si>
  <si>
    <t>γ</t>
  </si>
  <si>
    <t>HsL2/d3</t>
  </si>
  <si>
    <t>H/L</t>
  </si>
  <si>
    <t>Duration</t>
  </si>
  <si>
    <t>[s]</t>
  </si>
  <si>
    <t>d/L</t>
  </si>
  <si>
    <t>Regime</t>
  </si>
  <si>
    <t>Intermediate</t>
  </si>
  <si>
    <t>Deep</t>
  </si>
  <si>
    <t>SK1</t>
  </si>
  <si>
    <t>SK2</t>
  </si>
  <si>
    <t>SK3</t>
  </si>
  <si>
    <t>SK4</t>
  </si>
  <si>
    <t>SK5</t>
  </si>
  <si>
    <t>SK6</t>
  </si>
  <si>
    <t>SK7</t>
  </si>
  <si>
    <t>SK8</t>
  </si>
  <si>
    <t>SK9</t>
  </si>
  <si>
    <t>min</t>
  </si>
  <si>
    <t>sec</t>
  </si>
  <si>
    <r>
      <t>f</t>
    </r>
    <r>
      <rPr>
        <sz val="7"/>
        <color rgb="FFCCCCCC"/>
        <rFont val="Consolas"/>
        <family val="3"/>
      </rPr>
      <t>[</t>
    </r>
    <r>
      <rPr>
        <sz val="7"/>
        <color rgb="FFB5CEA8"/>
        <rFont val="Consolas"/>
        <family val="3"/>
      </rPr>
      <t>1</t>
    </r>
    <r>
      <rPr>
        <sz val="7"/>
        <color rgb="FFCCCCCC"/>
        <rFont val="Consolas"/>
        <family val="3"/>
      </rPr>
      <t>,:]</t>
    </r>
  </si>
  <si>
    <t>Reg1</t>
  </si>
  <si>
    <t>Hs=4sqrt(m0)</t>
  </si>
  <si>
    <t>m0</t>
  </si>
  <si>
    <t>m0 = eta2</t>
  </si>
  <si>
    <t>eta</t>
  </si>
  <si>
    <t>SK10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</si>
</sst>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CCCCCC"/>
      <name val="Consolas"/>
      <family val="3"/>
    </font>
    <font>
      <sz val="7"/>
      <color rgb="FF9CDCFE"/>
      <name val="Consolas"/>
      <family val="3"/>
    </font>
    <font>
      <sz val="7"/>
      <color rgb="FFB5CEA8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2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3316-28AF-4E0C-BF46-FE8A94CC1661}">
  <dimension ref="C1:Y41"/>
  <sheetViews>
    <sheetView tabSelected="1" topLeftCell="J21" zoomScale="151" workbookViewId="0">
      <selection activeCell="N31" sqref="N31"/>
    </sheetView>
  </sheetViews>
  <sheetFormatPr defaultRowHeight="14.5" x14ac:dyDescent="0.35"/>
  <sheetData>
    <row r="1" spans="3:14" x14ac:dyDescent="0.35">
      <c r="D1" t="s">
        <v>5</v>
      </c>
      <c r="E1" t="s">
        <v>3</v>
      </c>
      <c r="I1" t="s">
        <v>4</v>
      </c>
    </row>
    <row r="2" spans="3:14" x14ac:dyDescent="0.35">
      <c r="C2" t="s">
        <v>0</v>
      </c>
      <c r="D2">
        <v>1</v>
      </c>
      <c r="E2">
        <v>1</v>
      </c>
      <c r="F2">
        <v>1</v>
      </c>
      <c r="G2">
        <v>0.5</v>
      </c>
      <c r="H2">
        <v>0.5</v>
      </c>
      <c r="I2">
        <v>1</v>
      </c>
      <c r="J2">
        <v>0.5</v>
      </c>
      <c r="K2">
        <v>0.5</v>
      </c>
      <c r="L2">
        <v>1</v>
      </c>
      <c r="N2">
        <v>1</v>
      </c>
    </row>
    <row r="3" spans="3:14" x14ac:dyDescent="0.35">
      <c r="C3" t="s">
        <v>1</v>
      </c>
      <c r="D3">
        <v>10</v>
      </c>
      <c r="E3">
        <v>10</v>
      </c>
      <c r="F3">
        <v>20</v>
      </c>
      <c r="G3">
        <v>15</v>
      </c>
      <c r="H3">
        <v>20</v>
      </c>
      <c r="I3">
        <v>10</v>
      </c>
      <c r="J3">
        <v>3</v>
      </c>
      <c r="K3">
        <v>8</v>
      </c>
      <c r="L3">
        <v>5</v>
      </c>
      <c r="N3">
        <v>10</v>
      </c>
    </row>
    <row r="4" spans="3:14" x14ac:dyDescent="0.35">
      <c r="C4" t="s">
        <v>2</v>
      </c>
      <c r="D4">
        <v>5</v>
      </c>
      <c r="E4">
        <v>7</v>
      </c>
      <c r="F4">
        <v>7</v>
      </c>
      <c r="G4">
        <v>7</v>
      </c>
      <c r="H4">
        <v>7</v>
      </c>
      <c r="I4">
        <v>3.3</v>
      </c>
      <c r="J4">
        <v>3.3</v>
      </c>
      <c r="K4">
        <v>3.3</v>
      </c>
      <c r="L4">
        <v>3.3</v>
      </c>
      <c r="N4">
        <v>5</v>
      </c>
    </row>
    <row r="6" spans="3:14" x14ac:dyDescent="0.35">
      <c r="C6" t="s">
        <v>6</v>
      </c>
      <c r="D6">
        <f>D2/20</f>
        <v>0.05</v>
      </c>
      <c r="E6">
        <f t="shared" ref="E6:L6" si="0">E2/20</f>
        <v>0.05</v>
      </c>
      <c r="F6">
        <f t="shared" si="0"/>
        <v>0.05</v>
      </c>
      <c r="G6">
        <f t="shared" si="0"/>
        <v>2.5000000000000001E-2</v>
      </c>
      <c r="H6">
        <f t="shared" si="0"/>
        <v>2.5000000000000001E-2</v>
      </c>
      <c r="I6">
        <f t="shared" si="0"/>
        <v>0.05</v>
      </c>
      <c r="J6">
        <f t="shared" si="0"/>
        <v>2.5000000000000001E-2</v>
      </c>
      <c r="K6">
        <f t="shared" si="0"/>
        <v>2.5000000000000001E-2</v>
      </c>
      <c r="L6">
        <f t="shared" si="0"/>
        <v>0.05</v>
      </c>
    </row>
    <row r="7" spans="3:14" x14ac:dyDescent="0.35">
      <c r="C7" t="s">
        <v>7</v>
      </c>
      <c r="D7" s="1">
        <f>D3/SQRT(20)</f>
        <v>2.2360679774997898</v>
      </c>
      <c r="E7" s="1">
        <f t="shared" ref="E7:L7" si="1">E3/SQRT(20)</f>
        <v>2.2360679774997898</v>
      </c>
      <c r="F7" s="1">
        <f t="shared" si="1"/>
        <v>4.4721359549995796</v>
      </c>
      <c r="G7" s="1">
        <f t="shared" si="1"/>
        <v>3.3541019662496843</v>
      </c>
      <c r="H7" s="1">
        <f t="shared" si="1"/>
        <v>4.4721359549995796</v>
      </c>
      <c r="I7" s="1">
        <f t="shared" si="1"/>
        <v>2.2360679774997898</v>
      </c>
      <c r="J7" s="1">
        <f t="shared" si="1"/>
        <v>0.67082039324993692</v>
      </c>
      <c r="K7" s="1">
        <f t="shared" si="1"/>
        <v>1.7888543819998317</v>
      </c>
      <c r="L7" s="1">
        <f t="shared" si="1"/>
        <v>1.1180339887498949</v>
      </c>
    </row>
    <row r="8" spans="3:14" x14ac:dyDescent="0.35">
      <c r="C8" t="s">
        <v>2</v>
      </c>
      <c r="D8">
        <v>5</v>
      </c>
      <c r="E8">
        <v>7</v>
      </c>
      <c r="F8">
        <v>7</v>
      </c>
      <c r="G8">
        <v>7</v>
      </c>
      <c r="H8">
        <v>7</v>
      </c>
      <c r="I8">
        <v>3.3</v>
      </c>
      <c r="J8">
        <v>3.3</v>
      </c>
      <c r="K8">
        <v>3.3</v>
      </c>
      <c r="L8">
        <v>3.3</v>
      </c>
    </row>
    <row r="9" spans="3:14" x14ac:dyDescent="0.35">
      <c r="C9" t="s">
        <v>8</v>
      </c>
    </row>
    <row r="14" spans="3:14" x14ac:dyDescent="0.35">
      <c r="C14" t="s">
        <v>7</v>
      </c>
      <c r="D14" t="s">
        <v>9</v>
      </c>
      <c r="E14">
        <v>2.2400000000000002</v>
      </c>
      <c r="F14">
        <v>2.2400000000000002</v>
      </c>
      <c r="G14">
        <v>2.68</v>
      </c>
      <c r="H14">
        <v>2.68</v>
      </c>
      <c r="I14">
        <v>2.68</v>
      </c>
      <c r="J14">
        <v>2.2400000000000002</v>
      </c>
      <c r="K14">
        <v>0.67</v>
      </c>
      <c r="L14">
        <v>1.79</v>
      </c>
      <c r="M14">
        <v>1.1200000000000001</v>
      </c>
    </row>
    <row r="15" spans="3:14" x14ac:dyDescent="0.35">
      <c r="C15" t="s">
        <v>6</v>
      </c>
      <c r="D15" t="s">
        <v>10</v>
      </c>
      <c r="E15">
        <v>0.05</v>
      </c>
      <c r="F15">
        <v>0.05</v>
      </c>
      <c r="G15">
        <v>0.05</v>
      </c>
      <c r="H15">
        <v>0.1</v>
      </c>
      <c r="I15">
        <v>0.1</v>
      </c>
      <c r="J15">
        <v>0.05</v>
      </c>
      <c r="K15">
        <v>0.05</v>
      </c>
      <c r="L15">
        <v>0.1</v>
      </c>
      <c r="M15">
        <v>0.1</v>
      </c>
    </row>
    <row r="16" spans="3:14" x14ac:dyDescent="0.35">
      <c r="C16" t="s">
        <v>11</v>
      </c>
      <c r="E16">
        <v>5</v>
      </c>
      <c r="F16">
        <v>10</v>
      </c>
      <c r="G16">
        <v>10</v>
      </c>
      <c r="H16">
        <v>10</v>
      </c>
      <c r="I16">
        <v>10</v>
      </c>
      <c r="J16">
        <v>3.3</v>
      </c>
      <c r="K16">
        <v>3.3</v>
      </c>
      <c r="L16">
        <v>3.3</v>
      </c>
      <c r="M16">
        <v>3.3</v>
      </c>
    </row>
    <row r="17" spans="3:25" x14ac:dyDescent="0.35">
      <c r="C17" t="s">
        <v>12</v>
      </c>
      <c r="D17">
        <v>8.57</v>
      </c>
      <c r="E17">
        <v>8.57</v>
      </c>
      <c r="F17">
        <v>12.84</v>
      </c>
      <c r="G17">
        <v>25.68</v>
      </c>
      <c r="H17">
        <v>25.68</v>
      </c>
      <c r="I17">
        <v>8.57</v>
      </c>
      <c r="J17">
        <v>0.2</v>
      </c>
      <c r="K17">
        <v>10.06</v>
      </c>
      <c r="L17">
        <v>2.69</v>
      </c>
    </row>
    <row r="18" spans="3:25" x14ac:dyDescent="0.35">
      <c r="C18" t="s">
        <v>13</v>
      </c>
      <c r="D18">
        <v>1.0999999999999999E-2</v>
      </c>
      <c r="E18">
        <v>1.0999999999999999E-2</v>
      </c>
      <c r="F18">
        <v>8.9999999999999993E-3</v>
      </c>
      <c r="G18">
        <v>1.7999999999999999E-2</v>
      </c>
      <c r="H18">
        <v>1.7999999999999999E-2</v>
      </c>
      <c r="I18">
        <v>1.0999999999999999E-2</v>
      </c>
      <c r="J18">
        <v>7.0999999999999994E-2</v>
      </c>
      <c r="K18">
        <v>2.8000000000000001E-2</v>
      </c>
      <c r="L18">
        <v>5.5E-2</v>
      </c>
    </row>
    <row r="19" spans="3:25" x14ac:dyDescent="0.35">
      <c r="C19" t="s">
        <v>14</v>
      </c>
      <c r="D19" t="s">
        <v>15</v>
      </c>
      <c r="E19">
        <v>478</v>
      </c>
      <c r="F19">
        <v>478</v>
      </c>
      <c r="G19">
        <v>567</v>
      </c>
      <c r="H19">
        <v>567</v>
      </c>
      <c r="I19">
        <v>567</v>
      </c>
      <c r="J19">
        <v>478</v>
      </c>
      <c r="K19">
        <v>164</v>
      </c>
      <c r="L19">
        <v>388</v>
      </c>
      <c r="M19">
        <v>254</v>
      </c>
    </row>
    <row r="20" spans="3:25" x14ac:dyDescent="0.35">
      <c r="C20" t="s">
        <v>8</v>
      </c>
      <c r="D20" t="s">
        <v>10</v>
      </c>
      <c r="E20">
        <v>4.63</v>
      </c>
      <c r="F20">
        <v>4.63</v>
      </c>
      <c r="G20">
        <v>5.66</v>
      </c>
      <c r="H20">
        <v>5.66</v>
      </c>
      <c r="I20">
        <v>5.66</v>
      </c>
      <c r="J20">
        <v>4.63</v>
      </c>
      <c r="K20">
        <v>0.7</v>
      </c>
      <c r="L20">
        <v>3.55</v>
      </c>
      <c r="M20">
        <v>1.83</v>
      </c>
    </row>
    <row r="21" spans="3:25" x14ac:dyDescent="0.35">
      <c r="C21" t="s">
        <v>16</v>
      </c>
      <c r="D21">
        <v>0.108</v>
      </c>
      <c r="E21">
        <v>0.108</v>
      </c>
      <c r="F21">
        <v>8.7999999999999995E-2</v>
      </c>
      <c r="G21">
        <v>8.7999999999999995E-2</v>
      </c>
      <c r="H21">
        <v>8.7999999999999995E-2</v>
      </c>
      <c r="I21">
        <v>0.108</v>
      </c>
      <c r="J21">
        <v>0.71399999999999997</v>
      </c>
      <c r="K21">
        <v>0.14099999999999999</v>
      </c>
      <c r="L21">
        <v>0.27200000000000002</v>
      </c>
    </row>
    <row r="22" spans="3:25" x14ac:dyDescent="0.35">
      <c r="C22" t="s">
        <v>17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19</v>
      </c>
      <c r="K22" t="s">
        <v>18</v>
      </c>
      <c r="L22" t="s">
        <v>18</v>
      </c>
    </row>
    <row r="25" spans="3:25" x14ac:dyDescent="0.35">
      <c r="W25" t="s">
        <v>33</v>
      </c>
    </row>
    <row r="26" spans="3:25" x14ac:dyDescent="0.35">
      <c r="F26" t="s">
        <v>7</v>
      </c>
      <c r="G26" t="s">
        <v>6</v>
      </c>
      <c r="H26" t="s">
        <v>11</v>
      </c>
      <c r="I26" t="s">
        <v>14</v>
      </c>
      <c r="J26" t="s">
        <v>29</v>
      </c>
      <c r="K26" t="s">
        <v>30</v>
      </c>
      <c r="O26" t="s">
        <v>7</v>
      </c>
      <c r="P26" t="s">
        <v>6</v>
      </c>
      <c r="Q26" t="s">
        <v>11</v>
      </c>
      <c r="R26" t="s">
        <v>14</v>
      </c>
      <c r="S26" t="s">
        <v>29</v>
      </c>
      <c r="T26" t="s">
        <v>30</v>
      </c>
      <c r="W26" t="s">
        <v>34</v>
      </c>
      <c r="Y26" t="s">
        <v>35</v>
      </c>
    </row>
    <row r="27" spans="3:25" x14ac:dyDescent="0.35">
      <c r="E27" t="s">
        <v>20</v>
      </c>
      <c r="F27">
        <v>2.2400000000000002</v>
      </c>
      <c r="G27">
        <v>0.05</v>
      </c>
      <c r="H27">
        <v>5</v>
      </c>
      <c r="I27">
        <v>478</v>
      </c>
      <c r="J27">
        <f>ROUNDDOWN(I27/60,0)</f>
        <v>7</v>
      </c>
      <c r="K27">
        <f>I27-J27*60</f>
        <v>58</v>
      </c>
      <c r="N27" s="3" t="s">
        <v>20</v>
      </c>
      <c r="O27">
        <v>2.1</v>
      </c>
      <c r="P27">
        <v>0.06</v>
      </c>
      <c r="Q27">
        <v>5</v>
      </c>
      <c r="R27">
        <v>478</v>
      </c>
      <c r="S27">
        <v>8</v>
      </c>
      <c r="T27">
        <f>R27-S27*60</f>
        <v>-2</v>
      </c>
      <c r="U27" s="4"/>
      <c r="W27">
        <f>(P27/4)^2</f>
        <v>2.2499999999999999E-4</v>
      </c>
    </row>
    <row r="28" spans="3:25" x14ac:dyDescent="0.35">
      <c r="E28" t="s">
        <v>21</v>
      </c>
      <c r="F28">
        <v>2.2400000000000002</v>
      </c>
      <c r="G28">
        <v>0.05</v>
      </c>
      <c r="H28">
        <v>10</v>
      </c>
      <c r="I28">
        <v>478</v>
      </c>
      <c r="J28">
        <f t="shared" ref="J28:J35" si="2">ROUNDDOWN(I28/60,0)</f>
        <v>7</v>
      </c>
      <c r="K28">
        <f t="shared" ref="K28:K35" si="3">I28-J28*60</f>
        <v>58</v>
      </c>
      <c r="N28" s="3" t="s">
        <v>21</v>
      </c>
      <c r="O28">
        <v>2.1</v>
      </c>
      <c r="P28">
        <v>0.06</v>
      </c>
      <c r="Q28">
        <v>10</v>
      </c>
      <c r="R28">
        <v>478</v>
      </c>
      <c r="S28">
        <v>10</v>
      </c>
      <c r="T28">
        <f t="shared" ref="T28:T35" si="4">R28-S28*60</f>
        <v>-122</v>
      </c>
      <c r="U28" s="4"/>
      <c r="W28">
        <f t="shared" ref="W28:W37" si="5">(P28/4)^2</f>
        <v>2.2499999999999999E-4</v>
      </c>
      <c r="Y28" t="s">
        <v>36</v>
      </c>
    </row>
    <row r="29" spans="3:25" x14ac:dyDescent="0.35">
      <c r="E29" t="s">
        <v>22</v>
      </c>
      <c r="F29">
        <v>2.68</v>
      </c>
      <c r="G29">
        <v>0.05</v>
      </c>
      <c r="H29">
        <v>10</v>
      </c>
      <c r="I29">
        <v>567</v>
      </c>
      <c r="J29">
        <f t="shared" si="2"/>
        <v>9</v>
      </c>
      <c r="K29">
        <f t="shared" si="3"/>
        <v>27</v>
      </c>
      <c r="N29" t="s">
        <v>22</v>
      </c>
      <c r="O29">
        <v>2.5</v>
      </c>
      <c r="P29">
        <v>0.06</v>
      </c>
      <c r="Q29">
        <v>10</v>
      </c>
      <c r="R29">
        <v>567</v>
      </c>
      <c r="S29">
        <f t="shared" ref="S29:S35" si="6">ROUNDDOWN(R29/60,0)</f>
        <v>9</v>
      </c>
      <c r="T29">
        <f t="shared" si="4"/>
        <v>27</v>
      </c>
      <c r="W29">
        <f t="shared" si="5"/>
        <v>2.2499999999999999E-4</v>
      </c>
    </row>
    <row r="30" spans="3:25" x14ac:dyDescent="0.35">
      <c r="E30" t="s">
        <v>23</v>
      </c>
      <c r="F30">
        <v>2.68</v>
      </c>
      <c r="G30">
        <v>0.1</v>
      </c>
      <c r="H30">
        <v>10</v>
      </c>
      <c r="I30">
        <v>567</v>
      </c>
      <c r="J30">
        <f t="shared" si="2"/>
        <v>9</v>
      </c>
      <c r="K30">
        <f t="shared" si="3"/>
        <v>27</v>
      </c>
      <c r="N30" s="3" t="s">
        <v>23</v>
      </c>
      <c r="O30">
        <v>2.5</v>
      </c>
      <c r="P30">
        <v>0.12</v>
      </c>
      <c r="Q30">
        <v>10</v>
      </c>
      <c r="R30">
        <v>567</v>
      </c>
      <c r="S30">
        <f t="shared" si="6"/>
        <v>9</v>
      </c>
      <c r="T30">
        <f t="shared" si="4"/>
        <v>27</v>
      </c>
      <c r="U30" s="5"/>
      <c r="W30">
        <f t="shared" si="5"/>
        <v>8.9999999999999998E-4</v>
      </c>
    </row>
    <row r="31" spans="3:25" x14ac:dyDescent="0.35">
      <c r="E31" t="s">
        <v>24</v>
      </c>
      <c r="F31">
        <v>2.68</v>
      </c>
      <c r="G31">
        <v>0.1</v>
      </c>
      <c r="H31">
        <v>10</v>
      </c>
      <c r="I31">
        <v>567</v>
      </c>
      <c r="J31">
        <f t="shared" si="2"/>
        <v>9</v>
      </c>
      <c r="K31">
        <f t="shared" si="3"/>
        <v>27</v>
      </c>
      <c r="N31" s="3" t="s">
        <v>24</v>
      </c>
      <c r="O31">
        <v>2.1</v>
      </c>
      <c r="P31">
        <v>0.12</v>
      </c>
      <c r="Q31">
        <v>10</v>
      </c>
      <c r="R31">
        <v>567</v>
      </c>
      <c r="S31">
        <v>10</v>
      </c>
      <c r="T31">
        <f t="shared" si="4"/>
        <v>-33</v>
      </c>
      <c r="U31" s="4"/>
      <c r="W31">
        <f t="shared" si="5"/>
        <v>8.9999999999999998E-4</v>
      </c>
    </row>
    <row r="32" spans="3:25" x14ac:dyDescent="0.35">
      <c r="E32" t="s">
        <v>25</v>
      </c>
      <c r="F32">
        <v>2.2400000000000002</v>
      </c>
      <c r="G32">
        <v>0.05</v>
      </c>
      <c r="H32">
        <v>3.3</v>
      </c>
      <c r="I32">
        <v>478</v>
      </c>
      <c r="J32">
        <f t="shared" si="2"/>
        <v>7</v>
      </c>
      <c r="K32">
        <f t="shared" si="3"/>
        <v>58</v>
      </c>
      <c r="N32" s="3" t="s">
        <v>25</v>
      </c>
      <c r="O32">
        <v>2.1</v>
      </c>
      <c r="P32">
        <v>0.06</v>
      </c>
      <c r="Q32">
        <v>3.3</v>
      </c>
      <c r="R32">
        <v>478</v>
      </c>
      <c r="S32">
        <v>10</v>
      </c>
      <c r="T32">
        <f t="shared" si="4"/>
        <v>-122</v>
      </c>
      <c r="U32" s="4"/>
      <c r="W32">
        <f t="shared" si="5"/>
        <v>2.2499999999999999E-4</v>
      </c>
    </row>
    <row r="33" spans="3:25" x14ac:dyDescent="0.35">
      <c r="E33" t="s">
        <v>26</v>
      </c>
      <c r="F33">
        <v>0.67</v>
      </c>
      <c r="G33">
        <v>0.05</v>
      </c>
      <c r="H33">
        <v>3.3</v>
      </c>
      <c r="I33">
        <v>164</v>
      </c>
      <c r="J33">
        <f t="shared" si="2"/>
        <v>2</v>
      </c>
      <c r="K33">
        <f t="shared" si="3"/>
        <v>44</v>
      </c>
      <c r="N33" t="s">
        <v>26</v>
      </c>
      <c r="O33">
        <v>0.67</v>
      </c>
      <c r="P33">
        <v>0.06</v>
      </c>
      <c r="Q33">
        <v>3.3</v>
      </c>
      <c r="R33">
        <v>164</v>
      </c>
      <c r="S33">
        <f t="shared" si="6"/>
        <v>2</v>
      </c>
      <c r="T33">
        <f t="shared" si="4"/>
        <v>44</v>
      </c>
      <c r="W33">
        <f t="shared" si="5"/>
        <v>2.2499999999999999E-4</v>
      </c>
    </row>
    <row r="34" spans="3:25" x14ac:dyDescent="0.35">
      <c r="E34" t="s">
        <v>27</v>
      </c>
      <c r="F34">
        <v>1.79</v>
      </c>
      <c r="G34">
        <v>0.1</v>
      </c>
      <c r="H34">
        <v>3.3</v>
      </c>
      <c r="I34">
        <v>388</v>
      </c>
      <c r="J34">
        <f t="shared" si="2"/>
        <v>6</v>
      </c>
      <c r="K34">
        <f t="shared" si="3"/>
        <v>28</v>
      </c>
      <c r="N34" s="3" t="s">
        <v>27</v>
      </c>
      <c r="O34">
        <v>1.79</v>
      </c>
      <c r="P34">
        <v>0.12</v>
      </c>
      <c r="Q34">
        <v>3.3</v>
      </c>
      <c r="R34">
        <v>388</v>
      </c>
      <c r="S34">
        <f t="shared" si="6"/>
        <v>6</v>
      </c>
      <c r="T34">
        <f t="shared" si="4"/>
        <v>28</v>
      </c>
      <c r="U34" s="5"/>
      <c r="W34">
        <f t="shared" si="5"/>
        <v>8.9999999999999998E-4</v>
      </c>
    </row>
    <row r="35" spans="3:25" x14ac:dyDescent="0.35">
      <c r="E35" t="s">
        <v>28</v>
      </c>
      <c r="F35">
        <v>1.1200000000000001</v>
      </c>
      <c r="G35">
        <v>0.1</v>
      </c>
      <c r="H35">
        <v>3.3</v>
      </c>
      <c r="I35">
        <v>254</v>
      </c>
      <c r="J35">
        <f t="shared" si="2"/>
        <v>4</v>
      </c>
      <c r="K35">
        <f t="shared" si="3"/>
        <v>14</v>
      </c>
      <c r="N35" s="3" t="s">
        <v>28</v>
      </c>
      <c r="O35">
        <v>1.1200000000000001</v>
      </c>
      <c r="P35">
        <v>0.12</v>
      </c>
      <c r="Q35">
        <v>3.3</v>
      </c>
      <c r="R35">
        <v>254</v>
      </c>
      <c r="S35">
        <f t="shared" si="6"/>
        <v>4</v>
      </c>
      <c r="T35">
        <f t="shared" si="4"/>
        <v>14</v>
      </c>
      <c r="U35" s="4"/>
      <c r="W35">
        <f t="shared" si="5"/>
        <v>8.9999999999999998E-4</v>
      </c>
    </row>
    <row r="36" spans="3:25" x14ac:dyDescent="0.35">
      <c r="N36" s="3" t="s">
        <v>37</v>
      </c>
      <c r="O36">
        <v>2.1</v>
      </c>
      <c r="P36">
        <v>0.12</v>
      </c>
      <c r="Q36">
        <v>3.3</v>
      </c>
      <c r="R36">
        <v>478</v>
      </c>
      <c r="S36">
        <f t="shared" ref="S36" si="7">ROUNDDOWN(R36/60,0)</f>
        <v>7</v>
      </c>
      <c r="T36">
        <f t="shared" ref="T36" si="8">R36-S36*60</f>
        <v>58</v>
      </c>
      <c r="U36" s="4"/>
      <c r="W36">
        <f t="shared" si="5"/>
        <v>8.9999999999999998E-4</v>
      </c>
    </row>
    <row r="37" spans="3:25" x14ac:dyDescent="0.35">
      <c r="N37" s="3" t="s">
        <v>32</v>
      </c>
      <c r="O37">
        <v>2.1</v>
      </c>
      <c r="P37">
        <v>8.48E-2</v>
      </c>
      <c r="S37">
        <v>5</v>
      </c>
      <c r="W37">
        <f t="shared" si="5"/>
        <v>4.4944000000000001E-4</v>
      </c>
      <c r="X37">
        <f>SQRT(W37)</f>
        <v>2.12E-2</v>
      </c>
      <c r="Y37">
        <v>0.06</v>
      </c>
    </row>
    <row r="38" spans="3:25" x14ac:dyDescent="0.35">
      <c r="C38">
        <f>9.81*F33/6.28</f>
        <v>1.0466082802547771</v>
      </c>
    </row>
    <row r="41" spans="3:25" x14ac:dyDescent="0.35">
      <c r="E41">
        <f>0.025/0.1*C38</f>
        <v>0.26165207006369429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36E8-B4D3-490B-A1AA-489F607948B7}">
  <dimension ref="B3"/>
  <sheetViews>
    <sheetView workbookViewId="0">
      <selection activeCell="B3" sqref="B3"/>
    </sheetView>
  </sheetViews>
  <sheetFormatPr defaultRowHeight="14.5" x14ac:dyDescent="0.35"/>
  <sheetData>
    <row r="3" spans="2:2" x14ac:dyDescent="0.35">
      <c r="B3" s="2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Irham Adrie Hakiki</dc:creator>
  <cp:lastModifiedBy>Irham Adrie Hakiki</cp:lastModifiedBy>
  <dcterms:created xsi:type="dcterms:W3CDTF">2025-02-26T11:47:59Z</dcterms:created>
  <dcterms:modified xsi:type="dcterms:W3CDTF">2025-03-17T14:34:13Z</dcterms:modified>
</cp:coreProperties>
</file>